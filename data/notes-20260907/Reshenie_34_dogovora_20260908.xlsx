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4 договора" sheetId="1" state="visible" r:id="rId1"/>
    <sheet xmlns:r="http://schemas.openxmlformats.org/officeDocument/2006/relationships" name="Как заполнять" sheetId="2" state="visible" r:id="rId2"/>
  </sheets>
  <definedNames>
    <definedName name="_xlnm._FilterDatabase" localSheetId="0" hidden="1">'34 договора'!$A$1:$S$35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llfc8VOWMCi72BB-ICBXh_7mMraFTdHImSGv7TGyRuw/edit#range=A238" TargetMode="External" Id="rId1"/><Relationship Type="http://schemas.openxmlformats.org/officeDocument/2006/relationships/hyperlink" Target="https://broker.stmichael.ru/go/amo/lead/23455565" TargetMode="External" Id="rId2"/><Relationship Type="http://schemas.openxmlformats.org/officeDocument/2006/relationships/hyperlink" Target="https://docs.google.com/spreadsheets/d/1llfc8VOWMCi72BB-ICBXh_7mMraFTdHImSGv7TGyRuw/edit#range=A409" TargetMode="External" Id="rId3"/><Relationship Type="http://schemas.openxmlformats.org/officeDocument/2006/relationships/hyperlink" Target="https://broker.stmichael.ru/go/amo/lead/25231477" TargetMode="External" Id="rId4"/><Relationship Type="http://schemas.openxmlformats.org/officeDocument/2006/relationships/hyperlink" Target="https://docs.google.com/spreadsheets/d/1llfc8VOWMCi72BB-ICBXh_7mMraFTdHImSGv7TGyRuw/edit#range=A1069" TargetMode="External" Id="rId5"/><Relationship Type="http://schemas.openxmlformats.org/officeDocument/2006/relationships/hyperlink" Target="https://broker.stmichael.ru/go/amo/lead/31139053" TargetMode="External" Id="rId6"/><Relationship Type="http://schemas.openxmlformats.org/officeDocument/2006/relationships/hyperlink" Target="https://broker.stmichael.ru/go/amo/lead/9014459" TargetMode="External" Id="rId7"/><Relationship Type="http://schemas.openxmlformats.org/officeDocument/2006/relationships/hyperlink" Target="https://docs.google.com/spreadsheets/d/1llfc8VOWMCi72BB-ICBXh_7mMraFTdHImSGv7TGyRuw/edit#range=A110" TargetMode="External" Id="rId8"/><Relationship Type="http://schemas.openxmlformats.org/officeDocument/2006/relationships/hyperlink" Target="https://broker.stmichael.ru/go/amo/lead/20451385" TargetMode="External" Id="rId9"/><Relationship Type="http://schemas.openxmlformats.org/officeDocument/2006/relationships/hyperlink" Target="https://docs.google.com/spreadsheets/d/1llfc8VOWMCi72BB-ICBXh_7mMraFTdHImSGv7TGyRuw/edit#range=A311" TargetMode="External" Id="rId10"/><Relationship Type="http://schemas.openxmlformats.org/officeDocument/2006/relationships/hyperlink" Target="https://broker.stmichael.ru/go/amo/lead/24447637" TargetMode="External" Id="rId11"/><Relationship Type="http://schemas.openxmlformats.org/officeDocument/2006/relationships/hyperlink" Target="https://docs.google.com/spreadsheets/d/1llfc8VOWMCi72BB-ICBXh_7mMraFTdHImSGv7TGyRuw/edit#range=A500" TargetMode="External" Id="rId12"/><Relationship Type="http://schemas.openxmlformats.org/officeDocument/2006/relationships/hyperlink" Target="https://broker.stmichael.ru/go/amo/lead/25145337" TargetMode="External" Id="rId13"/><Relationship Type="http://schemas.openxmlformats.org/officeDocument/2006/relationships/hyperlink" Target="https://docs.google.com/spreadsheets/d/1llfc8VOWMCi72BB-ICBXh_7mMraFTdHImSGv7TGyRuw/edit#range=A139" TargetMode="External" Id="rId14"/><Relationship Type="http://schemas.openxmlformats.org/officeDocument/2006/relationships/hyperlink" Target="https://broker.stmichael.ru/go/amo/lead/20880629" TargetMode="External" Id="rId15"/><Relationship Type="http://schemas.openxmlformats.org/officeDocument/2006/relationships/hyperlink" Target="https://docs.google.com/spreadsheets/d/1llfc8VOWMCi72BB-ICBXh_7mMraFTdHImSGv7TGyRuw/edit#range=A149" TargetMode="External" Id="rId16"/><Relationship Type="http://schemas.openxmlformats.org/officeDocument/2006/relationships/hyperlink" Target="https://broker.stmichael.ru/go/amo/lead/21319667" TargetMode="External" Id="rId17"/><Relationship Type="http://schemas.openxmlformats.org/officeDocument/2006/relationships/hyperlink" Target="https://docs.google.com/spreadsheets/d/1llfc8VOWMCi72BB-ICBXh_7mMraFTdHImSGv7TGyRuw/edit#range=A159" TargetMode="External" Id="rId18"/><Relationship Type="http://schemas.openxmlformats.org/officeDocument/2006/relationships/hyperlink" Target="https://broker.stmichael.ru/go/amo/lead/20884929" TargetMode="External" Id="rId19"/><Relationship Type="http://schemas.openxmlformats.org/officeDocument/2006/relationships/hyperlink" Target="https://docs.google.com/spreadsheets/d/1llfc8VOWMCi72BB-ICBXh_7mMraFTdHImSGv7TGyRuw/edit#range=A164" TargetMode="External" Id="rId20"/><Relationship Type="http://schemas.openxmlformats.org/officeDocument/2006/relationships/hyperlink" Target="https://broker.stmichael.ru/go/amo/lead/21692965" TargetMode="External" Id="rId21"/><Relationship Type="http://schemas.openxmlformats.org/officeDocument/2006/relationships/hyperlink" Target="https://docs.google.com/spreadsheets/d/1llfc8VOWMCi72BB-ICBXh_7mMraFTdHImSGv7TGyRuw/edit#range=A170" TargetMode="External" Id="rId22"/><Relationship Type="http://schemas.openxmlformats.org/officeDocument/2006/relationships/hyperlink" Target="https://broker.stmichael.ru/go/amo/lead/21881027" TargetMode="External" Id="rId23"/><Relationship Type="http://schemas.openxmlformats.org/officeDocument/2006/relationships/hyperlink" Target="https://docs.google.com/spreadsheets/d/1llfc8VOWMCi72BB-ICBXh_7mMraFTdHImSGv7TGyRuw/edit#range=A183" TargetMode="External" Id="rId24"/><Relationship Type="http://schemas.openxmlformats.org/officeDocument/2006/relationships/hyperlink" Target="https://broker.stmichael.ru/go/amo/lead/20876070" TargetMode="External" Id="rId25"/><Relationship Type="http://schemas.openxmlformats.org/officeDocument/2006/relationships/hyperlink" Target="https://docs.google.com/spreadsheets/d/1llfc8VOWMCi72BB-ICBXh_7mMraFTdHImSGv7TGyRuw/edit#range=A184" TargetMode="External" Id="rId26"/><Relationship Type="http://schemas.openxmlformats.org/officeDocument/2006/relationships/hyperlink" Target="https://broker.stmichael.ru/go/amo/lead/21887497" TargetMode="External" Id="rId27"/><Relationship Type="http://schemas.openxmlformats.org/officeDocument/2006/relationships/hyperlink" Target="https://docs.google.com/spreadsheets/d/1llfc8VOWMCi72BB-ICBXh_7mMraFTdHImSGv7TGyRuw/edit#range=A190" TargetMode="External" Id="rId28"/><Relationship Type="http://schemas.openxmlformats.org/officeDocument/2006/relationships/hyperlink" Target="https://broker.stmichael.ru/go/amo/lead/21428719" TargetMode="External" Id="rId29"/><Relationship Type="http://schemas.openxmlformats.org/officeDocument/2006/relationships/hyperlink" Target="https://docs.google.com/spreadsheets/d/1llfc8VOWMCi72BB-ICBXh_7mMraFTdHImSGv7TGyRuw/edit#range=A246" TargetMode="External" Id="rId30"/><Relationship Type="http://schemas.openxmlformats.org/officeDocument/2006/relationships/hyperlink" Target="https://broker.stmichael.ru/go/amo/lead/23163705" TargetMode="External" Id="rId31"/><Relationship Type="http://schemas.openxmlformats.org/officeDocument/2006/relationships/hyperlink" Target="https://docs.google.com/spreadsheets/d/1llfc8VOWMCi72BB-ICBXh_7mMraFTdHImSGv7TGyRuw/edit#range=A247" TargetMode="External" Id="rId32"/><Relationship Type="http://schemas.openxmlformats.org/officeDocument/2006/relationships/hyperlink" Target="https://broker.stmichael.ru/go/amo/lead/23529377" TargetMode="External" Id="rId33"/><Relationship Type="http://schemas.openxmlformats.org/officeDocument/2006/relationships/hyperlink" Target="https://docs.google.com/spreadsheets/d/1llfc8VOWMCi72BB-ICBXh_7mMraFTdHImSGv7TGyRuw/edit#range=A264" TargetMode="External" Id="rId34"/><Relationship Type="http://schemas.openxmlformats.org/officeDocument/2006/relationships/hyperlink" Target="https://broker.stmichael.ru/go/amo/lead/23655589" TargetMode="External" Id="rId35"/><Relationship Type="http://schemas.openxmlformats.org/officeDocument/2006/relationships/hyperlink" Target="https://docs.google.com/spreadsheets/d/1llfc8VOWMCi72BB-ICBXh_7mMraFTdHImSGv7TGyRuw/edit#range=A292" TargetMode="External" Id="rId36"/><Relationship Type="http://schemas.openxmlformats.org/officeDocument/2006/relationships/hyperlink" Target="https://broker.stmichael.ru/go/amo/lead/24121449" TargetMode="External" Id="rId37"/><Relationship Type="http://schemas.openxmlformats.org/officeDocument/2006/relationships/hyperlink" Target="https://docs.google.com/spreadsheets/d/1llfc8VOWMCi72BB-ICBXh_7mMraFTdHImSGv7TGyRuw/edit#range=A322" TargetMode="External" Id="rId38"/><Relationship Type="http://schemas.openxmlformats.org/officeDocument/2006/relationships/hyperlink" Target="https://broker.stmichael.ru/go/amo/lead/23738917" TargetMode="External" Id="rId39"/><Relationship Type="http://schemas.openxmlformats.org/officeDocument/2006/relationships/hyperlink" Target="https://docs.google.com/spreadsheets/d/1llfc8VOWMCi72BB-ICBXh_7mMraFTdHImSGv7TGyRuw/edit#range=A323" TargetMode="External" Id="rId40"/><Relationship Type="http://schemas.openxmlformats.org/officeDocument/2006/relationships/hyperlink" Target="https://broker.stmichael.ru/go/amo/lead/24626863" TargetMode="External" Id="rId41"/><Relationship Type="http://schemas.openxmlformats.org/officeDocument/2006/relationships/hyperlink" Target="https://docs.google.com/spreadsheets/d/1llfc8VOWMCi72BB-ICBXh_7mMraFTdHImSGv7TGyRuw/edit#range=A338" TargetMode="External" Id="rId42"/><Relationship Type="http://schemas.openxmlformats.org/officeDocument/2006/relationships/hyperlink" Target="https://broker.stmichael.ru/go/amo/lead/24529865" TargetMode="External" Id="rId43"/><Relationship Type="http://schemas.openxmlformats.org/officeDocument/2006/relationships/hyperlink" Target="https://docs.google.com/spreadsheets/d/1llfc8VOWMCi72BB-ICBXh_7mMraFTdHImSGv7TGyRuw/edit#range=A418" TargetMode="External" Id="rId44"/><Relationship Type="http://schemas.openxmlformats.org/officeDocument/2006/relationships/hyperlink" Target="https://broker.stmichael.ru/go/amo/lead/25409331" TargetMode="External" Id="rId45"/><Relationship Type="http://schemas.openxmlformats.org/officeDocument/2006/relationships/hyperlink" Target="https://docs.google.com/spreadsheets/d/1llfc8VOWMCi72BB-ICBXh_7mMraFTdHImSGv7TGyRuw/edit#range=A421" TargetMode="External" Id="rId46"/><Relationship Type="http://schemas.openxmlformats.org/officeDocument/2006/relationships/hyperlink" Target="https://broker.stmichael.ru/go/amo/lead/25277605" TargetMode="External" Id="rId47"/><Relationship Type="http://schemas.openxmlformats.org/officeDocument/2006/relationships/hyperlink" Target="https://docs.google.com/spreadsheets/d/1llfc8VOWMCi72BB-ICBXh_7mMraFTdHImSGv7TGyRuw/edit#range=A452" TargetMode="External" Id="rId48"/><Relationship Type="http://schemas.openxmlformats.org/officeDocument/2006/relationships/hyperlink" Target="https://broker.stmichael.ru/go/amo/lead/24879815" TargetMode="External" Id="rId49"/><Relationship Type="http://schemas.openxmlformats.org/officeDocument/2006/relationships/hyperlink" Target="https://docs.google.com/spreadsheets/d/1llfc8VOWMCi72BB-ICBXh_7mMraFTdHImSGv7TGyRuw/edit#range=A466" TargetMode="External" Id="rId50"/><Relationship Type="http://schemas.openxmlformats.org/officeDocument/2006/relationships/hyperlink" Target="https://broker.stmichael.ru/go/amo/lead/25604923" TargetMode="External" Id="rId51"/><Relationship Type="http://schemas.openxmlformats.org/officeDocument/2006/relationships/hyperlink" Target="https://docs.google.com/spreadsheets/d/1llfc8VOWMCi72BB-ICBXh_7mMraFTdHImSGv7TGyRuw/edit#range=A565" TargetMode="External" Id="rId52"/><Relationship Type="http://schemas.openxmlformats.org/officeDocument/2006/relationships/hyperlink" Target="https://broker.stmichael.ru/go/amo/lead/26187503" TargetMode="External" Id="rId53"/><Relationship Type="http://schemas.openxmlformats.org/officeDocument/2006/relationships/hyperlink" Target="https://docs.google.com/spreadsheets/d/1llfc8VOWMCi72BB-ICBXh_7mMraFTdHImSGv7TGyRuw/edit#range=A725" TargetMode="External" Id="rId54"/><Relationship Type="http://schemas.openxmlformats.org/officeDocument/2006/relationships/hyperlink" Target="https://broker.stmichael.ru/go/amo/lead/27801915" TargetMode="External" Id="rId55"/><Relationship Type="http://schemas.openxmlformats.org/officeDocument/2006/relationships/hyperlink" Target="https://docs.google.com/spreadsheets/d/1llfc8VOWMCi72BB-ICBXh_7mMraFTdHImSGv7TGyRuw/edit#range=A744" TargetMode="External" Id="rId56"/><Relationship Type="http://schemas.openxmlformats.org/officeDocument/2006/relationships/hyperlink" Target="https://broker.stmichael.ru/go/amo/lead/27794619" TargetMode="External" Id="rId57"/><Relationship Type="http://schemas.openxmlformats.org/officeDocument/2006/relationships/hyperlink" Target="https://docs.google.com/spreadsheets/d/1llfc8VOWMCi72BB-ICBXh_7mMraFTdHImSGv7TGyRuw/edit#range=A858" TargetMode="External" Id="rId58"/><Relationship Type="http://schemas.openxmlformats.org/officeDocument/2006/relationships/hyperlink" Target="https://broker.stmichael.ru/go/amo/lead/29311071" TargetMode="External" Id="rId59"/><Relationship Type="http://schemas.openxmlformats.org/officeDocument/2006/relationships/hyperlink" Target="https://docs.google.com/spreadsheets/d/1llfc8VOWMCi72BB-ICBXh_7mMraFTdHImSGv7TGyRuw/edit#range=A747" TargetMode="External" Id="rId60"/><Relationship Type="http://schemas.openxmlformats.org/officeDocument/2006/relationships/hyperlink" Target="https://broker.stmichael.ru/go/amo/lead/29208987" TargetMode="External" Id="rId61"/><Relationship Type="http://schemas.openxmlformats.org/officeDocument/2006/relationships/hyperlink" Target="https://docs.google.com/spreadsheets/d/1llfc8VOWMCi72BB-ICBXh_7mMraFTdHImSGv7TGyRuw/edit#range=A274" TargetMode="External" Id="rId62"/><Relationship Type="http://schemas.openxmlformats.org/officeDocument/2006/relationships/hyperlink" Target="https://broker.stmichael.ru/go/amo/lead/23931405" TargetMode="External" Id="rId63"/><Relationship Type="http://schemas.openxmlformats.org/officeDocument/2006/relationships/hyperlink" Target="https://docs.google.com/spreadsheets/d/1llfc8VOWMCi72BB-ICBXh_7mMraFTdHImSGv7TGyRuw/edit#range=A1027" TargetMode="External" Id="rId64"/><Relationship Type="http://schemas.openxmlformats.org/officeDocument/2006/relationships/hyperlink" Target="https://broker.stmichael.ru/go/amo/lead/30787654" TargetMode="External" Id="rId65"/><Relationship Type="http://schemas.openxmlformats.org/officeDocument/2006/relationships/hyperlink" Target="https://docs.google.com/spreadsheets/d/1llfc8VOWMCi72BB-ICBXh_7mMraFTdHImSGv7TGyRuw/edit#range=A1139" TargetMode="External" Id="rId66"/><Relationship Type="http://schemas.openxmlformats.org/officeDocument/2006/relationships/hyperlink" Target="https://broker.stmichael.ru/go/amo/lead/31209105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3" customWidth="1" min="4" max="4"/>
    <col width="15" customWidth="1" min="5" max="5"/>
    <col width="24" customWidth="1" min="6" max="6"/>
    <col width="20" customWidth="1" min="7" max="7"/>
    <col width="18" customWidth="1" min="8" max="8"/>
    <col width="16" customWidth="1" min="9" max="9"/>
    <col width="7" customWidth="1" min="10" max="10"/>
    <col width="34" customWidth="1" min="11" max="11"/>
    <col width="11" customWidth="1" min="12" max="12"/>
    <col width="40" customWidth="1" min="13" max="13"/>
    <col width="22" customWidth="1" min="14" max="14"/>
    <col width="28" customWidth="1" min="15" max="15"/>
    <col width="16" customWidth="1" min="16" max="16"/>
    <col width="28" customWidth="1" min="17" max="17"/>
    <col width="14" customWidth="1" min="18" max="18"/>
    <col width="30" customWidth="1" min="19" max="19"/>
  </cols>
  <sheetData>
    <row r="1">
      <c r="A1" s="1" t="inlineStr">
        <is>
          <t>Решение (выберите)</t>
        </is>
      </c>
      <c r="B1" s="1" t="inlineStr">
        <is>
          <t>№ договора</t>
        </is>
      </c>
      <c r="C1" s="1" t="inlineStr">
        <is>
          <t>Проект</t>
        </is>
      </c>
      <c r="D1" s="1" t="inlineStr">
        <is>
          <t>Дата оплаты ДДУ</t>
        </is>
      </c>
      <c r="E1" s="1" t="inlineStr">
        <is>
          <t>Стоимость по ДДУ</t>
        </is>
      </c>
      <c r="F1" s="1" t="inlineStr">
        <is>
          <t>Клиент (Google)</t>
        </is>
      </c>
      <c r="G1" s="1" t="inlineStr">
        <is>
          <t>Источник лида (Google)</t>
        </is>
      </c>
      <c r="H1" s="1" t="inlineStr">
        <is>
          <t>Агентство (Google)</t>
        </is>
      </c>
      <c r="I1" s="1" t="inlineStr">
        <is>
          <t>Google-таблица</t>
        </is>
      </c>
      <c r="J1" s="1" t="inlineStr">
        <is>
          <t>Строка</t>
        </is>
      </c>
      <c r="K1" s="1" t="inlineStr">
        <is>
          <t>Ссылка на строку Google</t>
        </is>
      </c>
      <c r="L1" s="1" t="inlineStr">
        <is>
          <t>Лид amo</t>
        </is>
      </c>
      <c r="M1" s="1" t="inlineStr">
        <is>
          <t>Ссылка на лид amo</t>
        </is>
      </c>
      <c r="N1" s="1" t="inlineStr">
        <is>
          <t>Как найден брокер в amo</t>
        </is>
      </c>
      <c r="O1" s="1" t="inlineStr">
        <is>
          <t>Брокер (наша база)</t>
        </is>
      </c>
      <c r="P1" s="1" t="inlineStr">
        <is>
          <t>Телефон брокера</t>
        </is>
      </c>
      <c r="Q1" s="1" t="inlineStr">
        <is>
          <t>Агентство брокера (наша база)</t>
        </is>
      </c>
      <c r="R1" s="1" t="inlineStr">
        <is>
          <t>Статус карточки</t>
        </is>
      </c>
      <c r="S1" s="1" t="inlineStr">
        <is>
          <t>Комментарий</t>
        </is>
      </c>
    </row>
    <row r="2">
      <c r="B2" t="inlineStr">
        <is>
          <t>ЗГ2-13-3-136</t>
        </is>
      </c>
      <c r="C2" t="inlineStr">
        <is>
          <t>ZORGE9</t>
        </is>
      </c>
      <c r="D2" t="inlineStr">
        <is>
          <t>2021-01-14</t>
        </is>
      </c>
      <c r="E2" t="n">
        <v>18892595.5</v>
      </c>
      <c r="F2" t="inlineStr">
        <is>
          <t>Хавтаси А.Ю.</t>
        </is>
      </c>
      <c r="G2" t="inlineStr">
        <is>
          <t>иные источники</t>
        </is>
      </c>
      <c r="I2" t="inlineStr">
        <is>
          <t>Зорге 9</t>
        </is>
      </c>
      <c r="J2" t="n">
        <v>238</v>
      </c>
      <c r="K2" s="2" t="inlineStr">
        <is>
          <t>https://docs.google.com/spreadsheets/d/1llfc8VOWMCi72BB-ICBXh_7mMraFTdHImSGv7TGyRuw/edit#range=A238</t>
        </is>
      </c>
      <c r="L2" t="inlineStr">
        <is>
          <t>23455565</t>
        </is>
      </c>
      <c r="M2" s="2" t="inlineStr">
        <is>
          <t>https://broker.stmichael.ru/go/amo/lead/23455565</t>
        </is>
      </c>
      <c r="N2" t="inlineStr">
        <is>
          <t>телефон брокера в примечании лида</t>
        </is>
      </c>
      <c r="O2" t="inlineStr">
        <is>
          <t>Бакулина Алла Алексеевна</t>
        </is>
      </c>
      <c r="P2" t="inlineStr">
        <is>
          <t>+7925****716</t>
        </is>
      </c>
      <c r="Q2" t="inlineStr">
        <is>
          <t>Аполлинария (осн.)</t>
        </is>
      </c>
      <c r="R2" t="inlineStr">
        <is>
          <t>PENDING</t>
        </is>
      </c>
    </row>
    <row r="3">
      <c r="B3" t="inlineStr">
        <is>
          <t>ЗГ1-18-3-196</t>
        </is>
      </c>
      <c r="C3" t="inlineStr">
        <is>
          <t>ZORGE9</t>
        </is>
      </c>
      <c r="D3" t="inlineStr">
        <is>
          <t>2021-10-01</t>
        </is>
      </c>
      <c r="E3" t="n">
        <v>30298268</v>
      </c>
      <c r="F3" t="inlineStr">
        <is>
          <t>Гамбашидзе Илья Андреевич</t>
        </is>
      </c>
      <c r="G3" t="inlineStr">
        <is>
          <t>забор</t>
        </is>
      </c>
      <c r="I3" t="inlineStr">
        <is>
          <t>Зорге 9</t>
        </is>
      </c>
      <c r="J3" t="n">
        <v>409</v>
      </c>
      <c r="K3" s="2" t="inlineStr">
        <is>
          <t>https://docs.google.com/spreadsheets/d/1llfc8VOWMCi72BB-ICBXh_7mMraFTdHImSGv7TGyRuw/edit#range=A409</t>
        </is>
      </c>
      <c r="L3" t="inlineStr">
        <is>
          <t>25231477</t>
        </is>
      </c>
      <c r="M3" s="2" t="inlineStr">
        <is>
          <t>https://broker.stmichael.ru/go/amo/lead/25231477</t>
        </is>
      </c>
      <c r="N3" t="inlineStr">
        <is>
          <t>телефон брокера в примечании лида</t>
        </is>
      </c>
      <c r="O3" t="inlineStr">
        <is>
          <t>Мария</t>
        </is>
      </c>
      <c r="P3" t="inlineStr">
        <is>
          <t>+7929****140</t>
        </is>
      </c>
      <c r="Q3" t="inlineStr">
        <is>
          <t>Whitewill</t>
        </is>
      </c>
      <c r="R3" t="inlineStr">
        <is>
          <t>PENDING</t>
        </is>
      </c>
    </row>
    <row r="4">
      <c r="B4" t="inlineStr">
        <is>
          <t>ЗГ1-16-1-180</t>
        </is>
      </c>
      <c r="C4" t="inlineStr">
        <is>
          <t>ZORGE9</t>
        </is>
      </c>
      <c r="D4" t="inlineStr">
        <is>
          <t>2024-12-26</t>
        </is>
      </c>
      <c r="E4" t="n">
        <v>18368700</v>
      </c>
      <c r="F4" t="inlineStr">
        <is>
          <t>Вымпел ООО</t>
        </is>
      </c>
      <c r="G4" t="inlineStr">
        <is>
          <t>google</t>
        </is>
      </c>
      <c r="I4" t="inlineStr">
        <is>
          <t>Зорге 9</t>
        </is>
      </c>
      <c r="J4" t="n">
        <v>1069</v>
      </c>
      <c r="K4" s="2" t="inlineStr">
        <is>
          <t>https://docs.google.com/spreadsheets/d/1llfc8VOWMCi72BB-ICBXh_7mMraFTdHImSGv7TGyRuw/edit#range=A1069</t>
        </is>
      </c>
      <c r="L4" t="inlineStr">
        <is>
          <t>31139053</t>
        </is>
      </c>
      <c r="M4" s="2" t="inlineStr">
        <is>
          <t>https://broker.stmichael.ru/go/amo/lead/31139053</t>
        </is>
      </c>
      <c r="N4" t="inlineStr">
        <is>
          <t>телефон брокера в примечании лида</t>
        </is>
      </c>
      <c r="O4" t="inlineStr">
        <is>
          <t>Черкасов Александр Николаевич</t>
        </is>
      </c>
      <c r="P4" t="inlineStr">
        <is>
          <t>+7921****124</t>
        </is>
      </c>
      <c r="R4" t="inlineStr">
        <is>
          <t>PENDING</t>
        </is>
      </c>
    </row>
    <row r="5">
      <c r="B5" t="inlineStr">
        <is>
          <t>ЗГ1-1-1-015</t>
        </is>
      </c>
      <c r="C5" t="inlineStr">
        <is>
          <t>ZORGE9</t>
        </is>
      </c>
      <c r="D5" t="inlineStr">
        <is>
          <t>2019-09-02</t>
        </is>
      </c>
      <c r="E5" t="n">
        <v>51369700</v>
      </c>
      <c r="L5" t="inlineStr">
        <is>
          <t>9014459</t>
        </is>
      </c>
      <c r="M5" s="2" t="inlineStr">
        <is>
          <t>https://broker.stmichael.ru/go/amo/lead/9014459</t>
        </is>
      </c>
      <c r="N5" t="inlineStr">
        <is>
          <t>телефон брокера в примечании лида</t>
        </is>
      </c>
      <c r="O5" t="inlineStr">
        <is>
          <t>Бакулина Алла Алексеевна</t>
        </is>
      </c>
      <c r="P5" t="inlineStr">
        <is>
          <t>+7925****716</t>
        </is>
      </c>
      <c r="Q5" t="inlineStr">
        <is>
          <t>Аполлинария (осн.)</t>
        </is>
      </c>
      <c r="R5" t="inlineStr">
        <is>
          <t>PENDING</t>
        </is>
      </c>
    </row>
    <row r="6">
      <c r="B6" t="inlineStr">
        <is>
          <t>ЗГ1-4-2-031</t>
        </is>
      </c>
      <c r="C6" t="inlineStr">
        <is>
          <t>ZORGE9</t>
        </is>
      </c>
      <c r="D6" t="inlineStr">
        <is>
          <t>2020-07-24</t>
        </is>
      </c>
      <c r="E6" t="n">
        <v>11086438.08</v>
      </c>
      <c r="F6" t="inlineStr">
        <is>
          <t>Немерич</t>
        </is>
      </c>
      <c r="G6" t="inlineStr">
        <is>
          <t>?</t>
        </is>
      </c>
      <c r="I6" t="inlineStr">
        <is>
          <t>Зорге 9</t>
        </is>
      </c>
      <c r="J6" t="n">
        <v>110</v>
      </c>
      <c r="K6" s="2" t="inlineStr">
        <is>
          <t>https://docs.google.com/spreadsheets/d/1llfc8VOWMCi72BB-ICBXh_7mMraFTdHImSGv7TGyRuw/edit#range=A110</t>
        </is>
      </c>
      <c r="L6" t="inlineStr">
        <is>
          <t>20451385</t>
        </is>
      </c>
      <c r="M6" s="2" t="inlineStr">
        <is>
          <t>https://broker.stmichael.ru/go/amo/lead/20451385</t>
        </is>
      </c>
      <c r="N6" t="inlineStr">
        <is>
          <t>телефон брокера в примечании лида</t>
        </is>
      </c>
      <c r="O6" t="inlineStr">
        <is>
          <t>Бакулина Алла Алексеевна</t>
        </is>
      </c>
      <c r="P6" t="inlineStr">
        <is>
          <t>+7925****716</t>
        </is>
      </c>
      <c r="Q6" t="inlineStr">
        <is>
          <t>Аполлинария (осн.)</t>
        </is>
      </c>
      <c r="R6" t="inlineStr">
        <is>
          <t>PENDING</t>
        </is>
      </c>
    </row>
    <row r="7">
      <c r="B7" t="inlineStr">
        <is>
          <t>ЗГ2-3-1-020</t>
        </is>
      </c>
      <c r="C7" t="inlineStr">
        <is>
          <t>ZORGE9</t>
        </is>
      </c>
      <c r="D7" t="inlineStr">
        <is>
          <t>2021-06-29</t>
        </is>
      </c>
      <c r="E7" t="n">
        <v>10668500</v>
      </c>
      <c r="F7" t="inlineStr">
        <is>
          <t>Арзуманян Нелли Вартановна</t>
        </is>
      </c>
      <c r="G7" t="inlineStr">
        <is>
          <t>mail.ru (реферал)</t>
        </is>
      </c>
      <c r="I7" t="inlineStr">
        <is>
          <t>Зорге 9</t>
        </is>
      </c>
      <c r="J7" t="n">
        <v>311</v>
      </c>
      <c r="K7" s="2" t="inlineStr">
        <is>
          <t>https://docs.google.com/spreadsheets/d/1llfc8VOWMCi72BB-ICBXh_7mMraFTdHImSGv7TGyRuw/edit#range=A311</t>
        </is>
      </c>
      <c r="L7" t="inlineStr">
        <is>
          <t>24447637</t>
        </is>
      </c>
      <c r="M7" s="2" t="inlineStr">
        <is>
          <t>https://broker.stmichael.ru/go/amo/lead/24447637</t>
        </is>
      </c>
      <c r="N7" t="inlineStr">
        <is>
          <t>телефон брокера в примечании лида</t>
        </is>
      </c>
      <c r="O7" t="inlineStr">
        <is>
          <t>Богданов Александр Викторович</t>
        </is>
      </c>
      <c r="P7" t="inlineStr">
        <is>
          <t>+7909****712</t>
        </is>
      </c>
      <c r="Q7" t="inlineStr">
        <is>
          <t>ООО «Эгейн-Эстейт»</t>
        </is>
      </c>
      <c r="R7" t="inlineStr">
        <is>
          <t>PENDING</t>
        </is>
      </c>
    </row>
    <row r="8">
      <c r="B8" t="inlineStr">
        <is>
          <t>ЗГ1-4-2-032</t>
        </is>
      </c>
      <c r="C8" t="inlineStr">
        <is>
          <t>ZORGE9</t>
        </is>
      </c>
      <c r="D8" t="inlineStr">
        <is>
          <t>2021-12-15</t>
        </is>
      </c>
      <c r="E8" t="n">
        <v>20759000</v>
      </c>
      <c r="F8" t="inlineStr">
        <is>
          <t>Ильина Наталия Викторовна</t>
        </is>
      </c>
      <c r="G8" t="inlineStr">
        <is>
          <t>Google Визитка</t>
        </is>
      </c>
      <c r="I8" t="inlineStr">
        <is>
          <t>Зорге 9</t>
        </is>
      </c>
      <c r="J8" t="n">
        <v>500</v>
      </c>
      <c r="K8" s="2" t="inlineStr">
        <is>
          <t>https://docs.google.com/spreadsheets/d/1llfc8VOWMCi72BB-ICBXh_7mMraFTdHImSGv7TGyRuw/edit#range=A500</t>
        </is>
      </c>
      <c r="L8" t="inlineStr">
        <is>
          <t>25145337</t>
        </is>
      </c>
      <c r="M8" s="2" t="inlineStr">
        <is>
          <t>https://broker.stmichael.ru/go/amo/lead/25145337</t>
        </is>
      </c>
      <c r="N8" t="inlineStr">
        <is>
          <t>телефон брокера в примечании лида</t>
        </is>
      </c>
      <c r="O8" t="inlineStr">
        <is>
          <t>Щербаков Юрий Александрович</t>
        </is>
      </c>
      <c r="P8" t="inlineStr">
        <is>
          <t>+7925****218</t>
        </is>
      </c>
      <c r="R8" t="inlineStr">
        <is>
          <t>PENDING</t>
        </is>
      </c>
    </row>
    <row r="9">
      <c r="B9" t="inlineStr">
        <is>
          <t>ЗГ3-4-1-041</t>
        </is>
      </c>
      <c r="C9" t="inlineStr">
        <is>
          <t>ZORGE9</t>
        </is>
      </c>
      <c r="D9" t="inlineStr">
        <is>
          <t>2020-09-14</t>
        </is>
      </c>
      <c r="E9" t="n">
        <v>7764518.05</v>
      </c>
      <c r="F9" t="inlineStr">
        <is>
          <t>Куликова</t>
        </is>
      </c>
      <c r="G9" t="inlineStr">
        <is>
          <t>google</t>
        </is>
      </c>
      <c r="I9" t="inlineStr">
        <is>
          <t>Зорге 9</t>
        </is>
      </c>
      <c r="J9" t="n">
        <v>139</v>
      </c>
      <c r="K9" s="2" t="inlineStr">
        <is>
          <t>https://docs.google.com/spreadsheets/d/1llfc8VOWMCi72BB-ICBXh_7mMraFTdHImSGv7TGyRuw/edit#range=A139</t>
        </is>
      </c>
      <c r="L9" t="inlineStr">
        <is>
          <t>20880629</t>
        </is>
      </c>
      <c r="M9" s="2" t="inlineStr">
        <is>
          <t>https://broker.stmichael.ru/go/amo/lead/20880629</t>
        </is>
      </c>
      <c r="N9" t="inlineStr">
        <is>
          <t>телефон брокера в примечании лида</t>
        </is>
      </c>
      <c r="O9" t="inlineStr">
        <is>
          <t>Бакулина Алла Алексеевна</t>
        </is>
      </c>
      <c r="P9" t="inlineStr">
        <is>
          <t>+7925****716</t>
        </is>
      </c>
      <c r="Q9" t="inlineStr">
        <is>
          <t>Аполлинария (осн.)</t>
        </is>
      </c>
      <c r="R9" t="inlineStr">
        <is>
          <t>PENDING</t>
        </is>
      </c>
    </row>
    <row r="10">
      <c r="B10" t="inlineStr">
        <is>
          <t>ЗГ2-3-3-015</t>
        </is>
      </c>
      <c r="C10" t="inlineStr">
        <is>
          <t>ZORGE9</t>
        </is>
      </c>
      <c r="D10" t="inlineStr">
        <is>
          <t>2020-09-14</t>
        </is>
      </c>
      <c r="E10" t="n">
        <v>11441112.8</v>
      </c>
      <c r="F10" t="inlineStr">
        <is>
          <t>Серая</t>
        </is>
      </c>
      <c r="G10" t="inlineStr">
        <is>
          <t>FB Leads monkey</t>
        </is>
      </c>
      <c r="I10" t="inlineStr">
        <is>
          <t>Зорге 9</t>
        </is>
      </c>
      <c r="J10" t="n">
        <v>149</v>
      </c>
      <c r="K10" s="2" t="inlineStr">
        <is>
          <t>https://docs.google.com/spreadsheets/d/1llfc8VOWMCi72BB-ICBXh_7mMraFTdHImSGv7TGyRuw/edit#range=A149</t>
        </is>
      </c>
      <c r="L10" t="inlineStr">
        <is>
          <t>21319667</t>
        </is>
      </c>
      <c r="M10" s="2" t="inlineStr">
        <is>
          <t>https://broker.stmichael.ru/go/amo/lead/21319667</t>
        </is>
      </c>
      <c r="N10" t="inlineStr">
        <is>
          <t>телефон брокера в примечании лида</t>
        </is>
      </c>
      <c r="O10" t="inlineStr">
        <is>
          <t>Богданов Александр Викторович</t>
        </is>
      </c>
      <c r="P10" t="inlineStr">
        <is>
          <t>+7909****712</t>
        </is>
      </c>
      <c r="Q10" t="inlineStr">
        <is>
          <t>ООО «Эгейн-Эстейт»</t>
        </is>
      </c>
      <c r="R10" t="inlineStr">
        <is>
          <t>PENDING</t>
        </is>
      </c>
    </row>
    <row r="11">
      <c r="B11" t="inlineStr">
        <is>
          <t>ЗГ2-7-2-066</t>
        </is>
      </c>
      <c r="C11" t="inlineStr">
        <is>
          <t>ZORGE9</t>
        </is>
      </c>
      <c r="D11" t="inlineStr">
        <is>
          <t>2020-09-30</t>
        </is>
      </c>
      <c r="E11" t="n">
        <v>11449835.1</v>
      </c>
      <c r="F11" t="inlineStr">
        <is>
          <t>Голубицкая</t>
        </is>
      </c>
      <c r="G11" t="inlineStr">
        <is>
          <t>yandex</t>
        </is>
      </c>
      <c r="I11" t="inlineStr">
        <is>
          <t>Зорге 9</t>
        </is>
      </c>
      <c r="J11" t="n">
        <v>159</v>
      </c>
      <c r="K11" s="2" t="inlineStr">
        <is>
          <t>https://docs.google.com/spreadsheets/d/1llfc8VOWMCi72BB-ICBXh_7mMraFTdHImSGv7TGyRuw/edit#range=A159</t>
        </is>
      </c>
      <c r="L11" t="inlineStr">
        <is>
          <t>20884929</t>
        </is>
      </c>
      <c r="M11" s="2" t="inlineStr">
        <is>
          <t>https://broker.stmichael.ru/go/amo/lead/20884929</t>
        </is>
      </c>
      <c r="N11" t="inlineStr">
        <is>
          <t>телефон брокера в примечании лида</t>
        </is>
      </c>
      <c r="O11" t="inlineStr">
        <is>
          <t>Бакулина Алла Алексеевна</t>
        </is>
      </c>
      <c r="P11" t="inlineStr">
        <is>
          <t>+7925****716</t>
        </is>
      </c>
      <c r="Q11" t="inlineStr">
        <is>
          <t>Аполлинария (осн.)</t>
        </is>
      </c>
      <c r="R11" t="inlineStr">
        <is>
          <t>PENDING</t>
        </is>
      </c>
    </row>
    <row r="12">
      <c r="B12" t="inlineStr">
        <is>
          <t>ЗГ2-2-3-010</t>
        </is>
      </c>
      <c r="C12" t="inlineStr">
        <is>
          <t>ZORGE9</t>
        </is>
      </c>
      <c r="D12" t="inlineStr">
        <is>
          <t>2020-10-15</t>
        </is>
      </c>
      <c r="E12" t="n">
        <v>12060835.79</v>
      </c>
      <c r="F12" t="inlineStr">
        <is>
          <t>Симонова Ю.C.</t>
        </is>
      </c>
      <c r="G12" t="inlineStr">
        <is>
          <t>facebook</t>
        </is>
      </c>
      <c r="I12" t="inlineStr">
        <is>
          <t>Зорге 9</t>
        </is>
      </c>
      <c r="J12" t="n">
        <v>164</v>
      </c>
      <c r="K12" s="2" t="inlineStr">
        <is>
          <t>https://docs.google.com/spreadsheets/d/1llfc8VOWMCi72BB-ICBXh_7mMraFTdHImSGv7TGyRuw/edit#range=A164</t>
        </is>
      </c>
      <c r="L12" t="inlineStr">
        <is>
          <t>21692965</t>
        </is>
      </c>
      <c r="M12" s="2" t="inlineStr">
        <is>
          <t>https://broker.stmichael.ru/go/amo/lead/21692965</t>
        </is>
      </c>
      <c r="N12" t="inlineStr">
        <is>
          <t>телефон брокера в примечании лида</t>
        </is>
      </c>
      <c r="O12" t="inlineStr">
        <is>
          <t>Бакулина Алла Алексеевна</t>
        </is>
      </c>
      <c r="P12" t="inlineStr">
        <is>
          <t>+7925****716</t>
        </is>
      </c>
      <c r="Q12" t="inlineStr">
        <is>
          <t>Аполлинария (осн.)</t>
        </is>
      </c>
      <c r="R12" t="inlineStr">
        <is>
          <t>PENDING</t>
        </is>
      </c>
    </row>
    <row r="13">
      <c r="B13" t="inlineStr">
        <is>
          <t>ЗГ1-4-3-034</t>
        </is>
      </c>
      <c r="C13" t="inlineStr">
        <is>
          <t>ZORGE9</t>
        </is>
      </c>
      <c r="D13" t="inlineStr">
        <is>
          <t>2020-10-28</t>
        </is>
      </c>
      <c r="E13" t="n">
        <v>13514420.7</v>
      </c>
      <c r="F13" t="inlineStr">
        <is>
          <t>Хоронько</t>
        </is>
      </c>
      <c r="G13" t="inlineStr">
        <is>
          <t>google</t>
        </is>
      </c>
      <c r="I13" t="inlineStr">
        <is>
          <t>Зорге 9</t>
        </is>
      </c>
      <c r="J13" t="n">
        <v>170</v>
      </c>
      <c r="K13" s="2" t="inlineStr">
        <is>
          <t>https://docs.google.com/spreadsheets/d/1llfc8VOWMCi72BB-ICBXh_7mMraFTdHImSGv7TGyRuw/edit#range=A170</t>
        </is>
      </c>
      <c r="L13" t="inlineStr">
        <is>
          <t>21881027</t>
        </is>
      </c>
      <c r="M13" s="2" t="inlineStr">
        <is>
          <t>https://broker.stmichael.ru/go/amo/lead/21881027</t>
        </is>
      </c>
      <c r="N13" t="inlineStr">
        <is>
          <t>телефон брокера в примечании лида</t>
        </is>
      </c>
      <c r="O13" t="inlineStr">
        <is>
          <t>Степина Юлия Владимировна</t>
        </is>
      </c>
      <c r="P13" t="inlineStr">
        <is>
          <t>+7926****848</t>
        </is>
      </c>
      <c r="Q13" t="inlineStr">
        <is>
          <t>ИП Степина Ю.В.</t>
        </is>
      </c>
      <c r="R13" t="inlineStr">
        <is>
          <t>PENDING</t>
        </is>
      </c>
    </row>
    <row r="14">
      <c r="B14" t="inlineStr">
        <is>
          <t>ЗГ2-4-3-033</t>
        </is>
      </c>
      <c r="C14" t="inlineStr">
        <is>
          <t>ZORGE9</t>
        </is>
      </c>
      <c r="D14" t="inlineStr">
        <is>
          <t>2020-10-30</t>
        </is>
      </c>
      <c r="E14" t="n">
        <v>13997586.24</v>
      </c>
      <c r="F14" t="inlineStr">
        <is>
          <t>Барило Е.Б.</t>
        </is>
      </c>
      <c r="G14" t="inlineStr">
        <is>
          <t>direct</t>
        </is>
      </c>
      <c r="I14" t="inlineStr">
        <is>
          <t>Зорге 9</t>
        </is>
      </c>
      <c r="J14" t="n">
        <v>183</v>
      </c>
      <c r="K14" s="2" t="inlineStr">
        <is>
          <t>https://docs.google.com/spreadsheets/d/1llfc8VOWMCi72BB-ICBXh_7mMraFTdHImSGv7TGyRuw/edit#range=A183</t>
        </is>
      </c>
      <c r="L14" t="inlineStr">
        <is>
          <t>20876070</t>
        </is>
      </c>
      <c r="M14" s="2" t="inlineStr">
        <is>
          <t>https://broker.stmichael.ru/go/amo/lead/20876070</t>
        </is>
      </c>
      <c r="N14" t="inlineStr">
        <is>
          <t>телефон брокера в примечании лида</t>
        </is>
      </c>
      <c r="O14" t="inlineStr">
        <is>
          <t>Бакулина Алла Алексеевна</t>
        </is>
      </c>
      <c r="P14" t="inlineStr">
        <is>
          <t>+7925****716</t>
        </is>
      </c>
      <c r="Q14" t="inlineStr">
        <is>
          <t>Аполлинария (осн.)</t>
        </is>
      </c>
      <c r="R14" t="inlineStr">
        <is>
          <t>PENDING</t>
        </is>
      </c>
    </row>
    <row r="15">
      <c r="B15" t="inlineStr">
        <is>
          <t>ЗГ1-3-2-020</t>
        </is>
      </c>
      <c r="C15" t="inlineStr">
        <is>
          <t>ZORGE9</t>
        </is>
      </c>
      <c r="D15" t="inlineStr">
        <is>
          <t>2020-10-29</t>
        </is>
      </c>
      <c r="E15" t="n">
        <v>11574504.37</v>
      </c>
      <c r="F15" t="inlineStr">
        <is>
          <t>Маковкина О.Я.</t>
        </is>
      </c>
      <c r="G15" t="inlineStr">
        <is>
          <t>google</t>
        </is>
      </c>
      <c r="I15" t="inlineStr">
        <is>
          <t>Зорге 9</t>
        </is>
      </c>
      <c r="J15" t="n">
        <v>184</v>
      </c>
      <c r="K15" s="2" t="inlineStr">
        <is>
          <t>https://docs.google.com/spreadsheets/d/1llfc8VOWMCi72BB-ICBXh_7mMraFTdHImSGv7TGyRuw/edit#range=A184</t>
        </is>
      </c>
      <c r="L15" t="inlineStr">
        <is>
          <t>21887497</t>
        </is>
      </c>
      <c r="M15" s="2" t="inlineStr">
        <is>
          <t>https://broker.stmichael.ru/go/amo/lead/21887497</t>
        </is>
      </c>
      <c r="N15" t="inlineStr">
        <is>
          <t>телефон брокера в примечании лида</t>
        </is>
      </c>
      <c r="O15" t="inlineStr">
        <is>
          <t>Бакулина Алла Алексеевна</t>
        </is>
      </c>
      <c r="P15" t="inlineStr">
        <is>
          <t>+7925****716</t>
        </is>
      </c>
      <c r="Q15" t="inlineStr">
        <is>
          <t>Аполлинария (осн.)</t>
        </is>
      </c>
      <c r="R15" t="inlineStr">
        <is>
          <t>PENDING</t>
        </is>
      </c>
    </row>
    <row r="16">
      <c r="B16" t="inlineStr">
        <is>
          <t>ЗГ2-7-3-064</t>
        </is>
      </c>
      <c r="C16" t="inlineStr">
        <is>
          <t>ZORGE9</t>
        </is>
      </c>
      <c r="D16" t="inlineStr">
        <is>
          <t>2020-11-09</t>
        </is>
      </c>
      <c r="E16" t="n">
        <v>15617733.12</v>
      </c>
      <c r="F16" t="inlineStr">
        <is>
          <t>Абрамкин В.В.</t>
        </is>
      </c>
      <c r="G16" t="inlineStr">
        <is>
          <t>CPA Adv.Estate</t>
        </is>
      </c>
      <c r="I16" t="inlineStr">
        <is>
          <t>Зорге 9</t>
        </is>
      </c>
      <c r="J16" t="n">
        <v>190</v>
      </c>
      <c r="K16" s="2" t="inlineStr">
        <is>
          <t>https://docs.google.com/spreadsheets/d/1llfc8VOWMCi72BB-ICBXh_7mMraFTdHImSGv7TGyRuw/edit#range=A190</t>
        </is>
      </c>
      <c r="L16" t="inlineStr">
        <is>
          <t>21428719</t>
        </is>
      </c>
      <c r="M16" s="2" t="inlineStr">
        <is>
          <t>https://broker.stmichael.ru/go/amo/lead/21428719</t>
        </is>
      </c>
      <c r="N16" t="inlineStr">
        <is>
          <t>телефон брокера в примечании лида</t>
        </is>
      </c>
      <c r="O16" t="inlineStr">
        <is>
          <t>Бакулина Алла Алексеевна</t>
        </is>
      </c>
      <c r="P16" t="inlineStr">
        <is>
          <t>+7925****716</t>
        </is>
      </c>
      <c r="Q16" t="inlineStr">
        <is>
          <t>Аполлинария (осн.)</t>
        </is>
      </c>
      <c r="R16" t="inlineStr">
        <is>
          <t>PENDING</t>
        </is>
      </c>
    </row>
    <row r="17">
      <c r="B17" t="inlineStr">
        <is>
          <t>ЗГ2-8-3-081</t>
        </is>
      </c>
      <c r="C17" t="inlineStr">
        <is>
          <t>ZORGE9</t>
        </is>
      </c>
      <c r="D17" t="inlineStr">
        <is>
          <t>2021-01-27</t>
        </is>
      </c>
      <c r="E17" t="n">
        <v>17458140</v>
      </c>
      <c r="F17" t="inlineStr">
        <is>
          <t>Бабичева М.С.</t>
        </is>
      </c>
      <c r="G17" t="inlineStr">
        <is>
          <t>novostroyM</t>
        </is>
      </c>
      <c r="I17" t="inlineStr">
        <is>
          <t>Зорге 9</t>
        </is>
      </c>
      <c r="J17" t="n">
        <v>246</v>
      </c>
      <c r="K17" s="2" t="inlineStr">
        <is>
          <t>https://docs.google.com/spreadsheets/d/1llfc8VOWMCi72BB-ICBXh_7mMraFTdHImSGv7TGyRuw/edit#range=A246</t>
        </is>
      </c>
      <c r="L17" t="inlineStr">
        <is>
          <t>23163705</t>
        </is>
      </c>
      <c r="M17" s="2" t="inlineStr">
        <is>
          <t>https://broker.stmichael.ru/go/amo/lead/23163705</t>
        </is>
      </c>
      <c r="N17" t="inlineStr">
        <is>
          <t>телефон брокера в примечании лида</t>
        </is>
      </c>
      <c r="O17" t="inlineStr">
        <is>
          <t>Богданов Александр Викторович</t>
        </is>
      </c>
      <c r="P17" t="inlineStr">
        <is>
          <t>+7909****712</t>
        </is>
      </c>
      <c r="Q17" t="inlineStr">
        <is>
          <t>ООО «Эгейн-Эстейт»</t>
        </is>
      </c>
      <c r="R17" t="inlineStr">
        <is>
          <t>PENDING</t>
        </is>
      </c>
    </row>
    <row r="18">
      <c r="B18" t="inlineStr">
        <is>
          <t>ЗГ2-13-2-138</t>
        </is>
      </c>
      <c r="C18" t="inlineStr">
        <is>
          <t>ZORGE9</t>
        </is>
      </c>
      <c r="D18" t="inlineStr">
        <is>
          <t>2021-01-29</t>
        </is>
      </c>
      <c r="E18" t="n">
        <v>15312120.5</v>
      </c>
      <c r="F18" t="inlineStr">
        <is>
          <t>Зиганшина Н.В.</t>
        </is>
      </c>
      <c r="G18" t="inlineStr">
        <is>
          <t>google_ads</t>
        </is>
      </c>
      <c r="I18" t="inlineStr">
        <is>
          <t>Зорге 9</t>
        </is>
      </c>
      <c r="J18" t="n">
        <v>247</v>
      </c>
      <c r="K18" s="2" t="inlineStr">
        <is>
          <t>https://docs.google.com/spreadsheets/d/1llfc8VOWMCi72BB-ICBXh_7mMraFTdHImSGv7TGyRuw/edit#range=A247</t>
        </is>
      </c>
      <c r="L18" t="inlineStr">
        <is>
          <t>23529377</t>
        </is>
      </c>
      <c r="M18" s="2" t="inlineStr">
        <is>
          <t>https://broker.stmichael.ru/go/amo/lead/23529377</t>
        </is>
      </c>
      <c r="N18" t="inlineStr">
        <is>
          <t>телефон брокера в примечании лида</t>
        </is>
      </c>
      <c r="O18" t="inlineStr">
        <is>
          <t>Бакулина Алла Алексеевна</t>
        </is>
      </c>
      <c r="P18" t="inlineStr">
        <is>
          <t>+7925****716</t>
        </is>
      </c>
      <c r="Q18" t="inlineStr">
        <is>
          <t>Аполлинария (осн.)</t>
        </is>
      </c>
      <c r="R18" t="inlineStr">
        <is>
          <t>PENDING</t>
        </is>
      </c>
    </row>
    <row r="19">
      <c r="B19" t="inlineStr">
        <is>
          <t>ЗГ2-6-3-052</t>
        </is>
      </c>
      <c r="C19" t="inlineStr">
        <is>
          <t>ZORGE9</t>
        </is>
      </c>
      <c r="D19" t="inlineStr">
        <is>
          <t>2021-02-24</t>
        </is>
      </c>
      <c r="E19" t="n">
        <v>18246004</v>
      </c>
      <c r="F19" t="inlineStr">
        <is>
          <t>Горсткова С.E.</t>
        </is>
      </c>
      <c r="G19" t="inlineStr">
        <is>
          <t>google</t>
        </is>
      </c>
      <c r="I19" t="inlineStr">
        <is>
          <t>Зорге 9</t>
        </is>
      </c>
      <c r="J19" t="n">
        <v>264</v>
      </c>
      <c r="K19" s="2" t="inlineStr">
        <is>
          <t>https://docs.google.com/spreadsheets/d/1llfc8VOWMCi72BB-ICBXh_7mMraFTdHImSGv7TGyRuw/edit#range=A264</t>
        </is>
      </c>
      <c r="L19" t="inlineStr">
        <is>
          <t>23655589</t>
        </is>
      </c>
      <c r="M19" s="2" t="inlineStr">
        <is>
          <t>https://broker.stmichael.ru/go/amo/lead/23655589</t>
        </is>
      </c>
      <c r="N19" t="inlineStr">
        <is>
          <t>телефон брокера в примечании лида</t>
        </is>
      </c>
      <c r="O19" t="inlineStr">
        <is>
          <t>Бакулина Алла Алексеевна</t>
        </is>
      </c>
      <c r="P19" t="inlineStr">
        <is>
          <t>+7925****716</t>
        </is>
      </c>
      <c r="Q19" t="inlineStr">
        <is>
          <t>Аполлинария (осн.)</t>
        </is>
      </c>
      <c r="R19" t="inlineStr">
        <is>
          <t>PENDING</t>
        </is>
      </c>
    </row>
    <row r="20">
      <c r="B20" t="inlineStr">
        <is>
          <t>ЗГ3-9-1-111</t>
        </is>
      </c>
      <c r="C20" t="inlineStr">
        <is>
          <t>ZORGE9</t>
        </is>
      </c>
      <c r="D20" t="inlineStr">
        <is>
          <t>2021-04-13</t>
        </is>
      </c>
      <c r="E20" t="n">
        <v>10887257.21</v>
      </c>
      <c r="F20" t="inlineStr">
        <is>
          <t>Чкалин А.А.</t>
        </is>
      </c>
      <c r="G20" t="inlineStr">
        <is>
          <t>забор</t>
        </is>
      </c>
      <c r="I20" t="inlineStr">
        <is>
          <t>Зорге 9</t>
        </is>
      </c>
      <c r="J20" t="n">
        <v>292</v>
      </c>
      <c r="K20" s="2" t="inlineStr">
        <is>
          <t>https://docs.google.com/spreadsheets/d/1llfc8VOWMCi72BB-ICBXh_7mMraFTdHImSGv7TGyRuw/edit#range=A292</t>
        </is>
      </c>
      <c r="L20" t="inlineStr">
        <is>
          <t>24121449</t>
        </is>
      </c>
      <c r="M20" s="2" t="inlineStr">
        <is>
          <t>https://broker.stmichael.ru/go/amo/lead/24121449</t>
        </is>
      </c>
      <c r="N20" t="inlineStr">
        <is>
          <t>телефон брокера в примечании лида</t>
        </is>
      </c>
      <c r="O20" t="inlineStr">
        <is>
          <t>Бакулина Алла Алексеевна</t>
        </is>
      </c>
      <c r="P20" t="inlineStr">
        <is>
          <t>+7925****716</t>
        </is>
      </c>
      <c r="Q20" t="inlineStr">
        <is>
          <t>Аполлинария (осн.)</t>
        </is>
      </c>
      <c r="R20" t="inlineStr">
        <is>
          <t>PENDING</t>
        </is>
      </c>
    </row>
    <row r="21">
      <c r="B21" t="inlineStr">
        <is>
          <t>ЗГ2-8-1-079</t>
        </is>
      </c>
      <c r="C21" t="inlineStr">
        <is>
          <t>ZORGE9</t>
        </is>
      </c>
      <c r="D21" t="inlineStr">
        <is>
          <t>2021-06-23</t>
        </is>
      </c>
      <c r="E21" t="n">
        <v>12105254</v>
      </c>
      <c r="F21" t="inlineStr">
        <is>
          <t>Садков Алексей Витальевич</t>
        </is>
      </c>
      <c r="G21" t="inlineStr">
        <is>
          <t>yandex</t>
        </is>
      </c>
      <c r="I21" t="inlineStr">
        <is>
          <t>Зорге 9</t>
        </is>
      </c>
      <c r="J21" t="n">
        <v>322</v>
      </c>
      <c r="K21" s="2" t="inlineStr">
        <is>
          <t>https://docs.google.com/spreadsheets/d/1llfc8VOWMCi72BB-ICBXh_7mMraFTdHImSGv7TGyRuw/edit#range=A322</t>
        </is>
      </c>
      <c r="L21" t="inlineStr">
        <is>
          <t>23738917</t>
        </is>
      </c>
      <c r="M21" s="2" t="inlineStr">
        <is>
          <t>https://broker.stmichael.ru/go/amo/lead/23738917</t>
        </is>
      </c>
      <c r="N21" t="inlineStr">
        <is>
          <t>телефон брокера в примечании лида</t>
        </is>
      </c>
      <c r="O21" t="inlineStr">
        <is>
          <t>Бакулина Алла Алексеевна</t>
        </is>
      </c>
      <c r="P21" t="inlineStr">
        <is>
          <t>+7925****716</t>
        </is>
      </c>
      <c r="Q21" t="inlineStr">
        <is>
          <t>Аполлинария (осн.)</t>
        </is>
      </c>
      <c r="R21" t="inlineStr">
        <is>
          <t>PENDING</t>
        </is>
      </c>
    </row>
    <row r="22">
      <c r="B22" t="inlineStr">
        <is>
          <t>ЗГ2-14-3-153</t>
        </is>
      </c>
      <c r="C22" t="inlineStr">
        <is>
          <t>ZORGE9</t>
        </is>
      </c>
      <c r="D22" t="inlineStr">
        <is>
          <t>2021-06-28</t>
        </is>
      </c>
      <c r="E22" t="n">
        <v>23969286.5</v>
      </c>
      <c r="F22" t="inlineStr">
        <is>
          <t>Федорова Владислава Юрьевна</t>
        </is>
      </c>
      <c r="G22" t="inlineStr">
        <is>
          <t>google</t>
        </is>
      </c>
      <c r="I22" t="inlineStr">
        <is>
          <t>Зорге 9</t>
        </is>
      </c>
      <c r="J22" t="n">
        <v>323</v>
      </c>
      <c r="K22" s="2" t="inlineStr">
        <is>
          <t>https://docs.google.com/spreadsheets/d/1llfc8VOWMCi72BB-ICBXh_7mMraFTdHImSGv7TGyRuw/edit#range=A323</t>
        </is>
      </c>
      <c r="L22" t="inlineStr">
        <is>
          <t>24626863</t>
        </is>
      </c>
      <c r="M22" s="2" t="inlineStr">
        <is>
          <t>https://broker.stmichael.ru/go/amo/lead/24626863</t>
        </is>
      </c>
      <c r="N22" t="inlineStr">
        <is>
          <t>телефон брокера в примечании лида</t>
        </is>
      </c>
      <c r="O22" t="inlineStr">
        <is>
          <t>Бакулина Алла Алексеевна</t>
        </is>
      </c>
      <c r="P22" t="inlineStr">
        <is>
          <t>+7925****716</t>
        </is>
      </c>
      <c r="Q22" t="inlineStr">
        <is>
          <t>Аполлинария (осн.)</t>
        </is>
      </c>
      <c r="R22" t="inlineStr">
        <is>
          <t>PENDING</t>
        </is>
      </c>
    </row>
    <row r="23">
      <c r="B23" t="inlineStr">
        <is>
          <t>ЗГ2-7-1-072</t>
        </is>
      </c>
      <c r="C23" t="inlineStr">
        <is>
          <t>ZORGE9</t>
        </is>
      </c>
      <c r="D23" t="inlineStr">
        <is>
          <t>2021-07-19</t>
        </is>
      </c>
      <c r="E23" t="n">
        <v>9626799</v>
      </c>
      <c r="F23" t="inlineStr">
        <is>
          <t>Ешан Родика</t>
        </is>
      </c>
      <c r="G23" t="inlineStr">
        <is>
          <t>google</t>
        </is>
      </c>
      <c r="I23" t="inlineStr">
        <is>
          <t>Зорге 9</t>
        </is>
      </c>
      <c r="J23" t="n">
        <v>338</v>
      </c>
      <c r="K23" s="2" t="inlineStr">
        <is>
          <t>https://docs.google.com/spreadsheets/d/1llfc8VOWMCi72BB-ICBXh_7mMraFTdHImSGv7TGyRuw/edit#range=A338</t>
        </is>
      </c>
      <c r="L23" t="inlineStr">
        <is>
          <t>24529865</t>
        </is>
      </c>
      <c r="M23" s="2" t="inlineStr">
        <is>
          <t>https://broker.stmichael.ru/go/amo/lead/24529865</t>
        </is>
      </c>
      <c r="N23" t="inlineStr">
        <is>
          <t>телефон брокера в примечании лида</t>
        </is>
      </c>
      <c r="O23" t="inlineStr">
        <is>
          <t>Бакулина Алла Алексеевна</t>
        </is>
      </c>
      <c r="P23" t="inlineStr">
        <is>
          <t>+7925****716</t>
        </is>
      </c>
      <c r="Q23" t="inlineStr">
        <is>
          <t>Аполлинария (осн.)</t>
        </is>
      </c>
      <c r="R23" t="inlineStr">
        <is>
          <t>PENDING</t>
        </is>
      </c>
    </row>
    <row r="24">
      <c r="B24" t="inlineStr">
        <is>
          <t>ЗГ2-16-1-180</t>
        </is>
      </c>
      <c r="C24" t="inlineStr">
        <is>
          <t>ZORGE9</t>
        </is>
      </c>
      <c r="D24" t="inlineStr">
        <is>
          <t>2021-10-07</t>
        </is>
      </c>
      <c r="E24" t="n">
        <v>10697100</v>
      </c>
      <c r="F24" t="inlineStr">
        <is>
          <t>Ковалева Анастасия Михайловна</t>
        </is>
      </c>
      <c r="G24" t="inlineStr">
        <is>
          <t>иные источники</t>
        </is>
      </c>
      <c r="I24" t="inlineStr">
        <is>
          <t>Зорге 9</t>
        </is>
      </c>
      <c r="J24" t="n">
        <v>418</v>
      </c>
      <c r="K24" s="2" t="inlineStr">
        <is>
          <t>https://docs.google.com/spreadsheets/d/1llfc8VOWMCi72BB-ICBXh_7mMraFTdHImSGv7TGyRuw/edit#range=A418</t>
        </is>
      </c>
      <c r="L24" t="inlineStr">
        <is>
          <t>25409331</t>
        </is>
      </c>
      <c r="M24" s="2" t="inlineStr">
        <is>
          <t>https://broker.stmichael.ru/go/amo/lead/25409331</t>
        </is>
      </c>
      <c r="N24" t="inlineStr">
        <is>
          <t>телефон брокера в примечании лида</t>
        </is>
      </c>
      <c r="O24" t="inlineStr">
        <is>
          <t>Бакулина Алла Алексеевна</t>
        </is>
      </c>
      <c r="P24" t="inlineStr">
        <is>
          <t>+7925****716</t>
        </is>
      </c>
      <c r="Q24" t="inlineStr">
        <is>
          <t>Аполлинария (осн.)</t>
        </is>
      </c>
      <c r="R24" t="inlineStr">
        <is>
          <t>PENDING</t>
        </is>
      </c>
    </row>
    <row r="25">
      <c r="B25" t="inlineStr">
        <is>
          <t>ЗГ2-18-3-196</t>
        </is>
      </c>
      <c r="C25" t="inlineStr">
        <is>
          <t>ZORGE9</t>
        </is>
      </c>
      <c r="D25" t="inlineStr">
        <is>
          <t>2021-10-14</t>
        </is>
      </c>
      <c r="E25" t="n">
        <v>26352000</v>
      </c>
      <c r="F25" t="inlineStr">
        <is>
          <t>Селихова Екатерина Александровна</t>
        </is>
      </c>
      <c r="G25" t="inlineStr">
        <is>
          <t>yandex</t>
        </is>
      </c>
      <c r="I25" t="inlineStr">
        <is>
          <t>Зорге 9</t>
        </is>
      </c>
      <c r="J25" t="n">
        <v>421</v>
      </c>
      <c r="K25" s="2" t="inlineStr">
        <is>
          <t>https://docs.google.com/spreadsheets/d/1llfc8VOWMCi72BB-ICBXh_7mMraFTdHImSGv7TGyRuw/edit#range=A421</t>
        </is>
      </c>
      <c r="L25" t="inlineStr">
        <is>
          <t>25277605</t>
        </is>
      </c>
      <c r="M25" s="2" t="inlineStr">
        <is>
          <t>https://broker.stmichael.ru/go/amo/lead/25277605</t>
        </is>
      </c>
      <c r="N25" t="inlineStr">
        <is>
          <t>телефон брокера в примечании лида</t>
        </is>
      </c>
      <c r="O25" t="inlineStr">
        <is>
          <t>Бакулина Алла Алексеевна</t>
        </is>
      </c>
      <c r="P25" t="inlineStr">
        <is>
          <t>+7925****716</t>
        </is>
      </c>
      <c r="Q25" t="inlineStr">
        <is>
          <t>Аполлинария (осн.)</t>
        </is>
      </c>
      <c r="R25" t="inlineStr">
        <is>
          <t>PENDING</t>
        </is>
      </c>
    </row>
    <row r="26">
      <c r="B26" t="inlineStr">
        <is>
          <t>ЗГ2-12-1-125а</t>
        </is>
      </c>
      <c r="C26" t="inlineStr">
        <is>
          <t>ZORGE9</t>
        </is>
      </c>
      <c r="D26" t="inlineStr">
        <is>
          <t>2021-11-16</t>
        </is>
      </c>
      <c r="E26" t="n">
        <v>11028400</v>
      </c>
      <c r="F26" t="inlineStr">
        <is>
          <t>Картер Елена Сергеевна</t>
        </is>
      </c>
      <c r="G26" t="inlineStr">
        <is>
          <t>facebook_traffic</t>
        </is>
      </c>
      <c r="I26" t="inlineStr">
        <is>
          <t>Зорге 9</t>
        </is>
      </c>
      <c r="J26" t="n">
        <v>452</v>
      </c>
      <c r="K26" s="2" t="inlineStr">
        <is>
          <t>https://docs.google.com/spreadsheets/d/1llfc8VOWMCi72BB-ICBXh_7mMraFTdHImSGv7TGyRuw/edit#range=A452</t>
        </is>
      </c>
      <c r="L26" t="inlineStr">
        <is>
          <t>24879815</t>
        </is>
      </c>
      <c r="M26" s="2" t="inlineStr">
        <is>
          <t>https://broker.stmichael.ru/go/amo/lead/24879815</t>
        </is>
      </c>
      <c r="N26" t="inlineStr">
        <is>
          <t>телефон брокера в примечании лида</t>
        </is>
      </c>
      <c r="O26" t="inlineStr">
        <is>
          <t>Краснокутская Ксения</t>
        </is>
      </c>
      <c r="P26" t="inlineStr">
        <is>
          <t>+7903****055</t>
        </is>
      </c>
      <c r="R26" t="inlineStr">
        <is>
          <t>PENDING</t>
        </is>
      </c>
    </row>
    <row r="27">
      <c r="B27" t="inlineStr">
        <is>
          <t>ЗГ2-6-1-060</t>
        </is>
      </c>
      <c r="C27" t="inlineStr">
        <is>
          <t>ZORGE9</t>
        </is>
      </c>
      <c r="D27" t="inlineStr">
        <is>
          <t>2021-12-03</t>
        </is>
      </c>
      <c r="E27" t="n">
        <v>10404175</v>
      </c>
      <c r="F27" t="inlineStr">
        <is>
          <t>Коновалова Ирина Владимировна</t>
        </is>
      </c>
      <c r="G27" t="inlineStr">
        <is>
          <t>facebook_traffic</t>
        </is>
      </c>
      <c r="I27" t="inlineStr">
        <is>
          <t>Зорге 9</t>
        </is>
      </c>
      <c r="J27" t="n">
        <v>466</v>
      </c>
      <c r="K27" s="2" t="inlineStr">
        <is>
          <t>https://docs.google.com/spreadsheets/d/1llfc8VOWMCi72BB-ICBXh_7mMraFTdHImSGv7TGyRuw/edit#range=A466</t>
        </is>
      </c>
      <c r="L27" t="inlineStr">
        <is>
          <t>25604923</t>
        </is>
      </c>
      <c r="M27" s="2" t="inlineStr">
        <is>
          <t>https://broker.stmichael.ru/go/amo/lead/25604923</t>
        </is>
      </c>
      <c r="N27" t="inlineStr">
        <is>
          <t>телефон брокера в примечании лида</t>
        </is>
      </c>
      <c r="O27" t="inlineStr">
        <is>
          <t>Богданов Александр Викторович</t>
        </is>
      </c>
      <c r="P27" t="inlineStr">
        <is>
          <t>+7909****712</t>
        </is>
      </c>
      <c r="Q27" t="inlineStr">
        <is>
          <t>ООО «Эгейн-Эстейт»</t>
        </is>
      </c>
      <c r="R27" t="inlineStr">
        <is>
          <t>PENDING</t>
        </is>
      </c>
    </row>
    <row r="28">
      <c r="B28" t="inlineStr">
        <is>
          <t>ЗГ1-4-1-035а</t>
        </is>
      </c>
      <c r="C28" t="inlineStr">
        <is>
          <t>ZORGE9</t>
        </is>
      </c>
      <c r="D28" t="inlineStr">
        <is>
          <t>2022-02-25</t>
        </is>
      </c>
      <c r="E28" t="n">
        <v>15650412</v>
      </c>
      <c r="F28" t="inlineStr">
        <is>
          <t>Бец Алина Александровна</t>
        </is>
      </c>
      <c r="G28" t="inlineStr">
        <is>
          <t>забор</t>
        </is>
      </c>
      <c r="I28" t="inlineStr">
        <is>
          <t>Зорге 9</t>
        </is>
      </c>
      <c r="J28" t="n">
        <v>565</v>
      </c>
      <c r="K28" s="2" t="inlineStr">
        <is>
          <t>https://docs.google.com/spreadsheets/d/1llfc8VOWMCi72BB-ICBXh_7mMraFTdHImSGv7TGyRuw/edit#range=A565</t>
        </is>
      </c>
      <c r="L28" t="inlineStr">
        <is>
          <t>26187503</t>
        </is>
      </c>
      <c r="M28" s="2" t="inlineStr">
        <is>
          <t>https://broker.stmichael.ru/go/amo/lead/26187503</t>
        </is>
      </c>
      <c r="N28" t="inlineStr">
        <is>
          <t>телефон брокера в примечании лида</t>
        </is>
      </c>
      <c r="O28" t="inlineStr">
        <is>
          <t>Олег Силантьев</t>
        </is>
      </c>
      <c r="P28" t="inlineStr">
        <is>
          <t>+7926****779</t>
        </is>
      </c>
      <c r="Q28" t="inlineStr">
        <is>
          <t>Офис на Петровке (осн.)</t>
        </is>
      </c>
      <c r="R28" t="inlineStr">
        <is>
          <t>PENDING</t>
        </is>
      </c>
    </row>
    <row r="29">
      <c r="B29" t="inlineStr">
        <is>
          <t>КЛ-02.137</t>
        </is>
      </c>
      <c r="C29" t="inlineStr">
        <is>
          <t>ZORGE9</t>
        </is>
      </c>
      <c r="D29" t="inlineStr">
        <is>
          <t>2023-02-28</t>
        </is>
      </c>
      <c r="E29" t="n">
        <v>639280</v>
      </c>
      <c r="F29" t="inlineStr">
        <is>
          <t>Кандикудряков-Тигранн Николай Николаевич</t>
        </is>
      </c>
      <c r="G29" t="inlineStr">
        <is>
          <t>купил апарт</t>
        </is>
      </c>
      <c r="I29" t="inlineStr">
        <is>
          <t>Зорге 9</t>
        </is>
      </c>
      <c r="J29" t="n">
        <v>725</v>
      </c>
      <c r="K29" s="2" t="inlineStr">
        <is>
          <t>https://docs.google.com/spreadsheets/d/1llfc8VOWMCi72BB-ICBXh_7mMraFTdHImSGv7TGyRuw/edit#range=A725</t>
        </is>
      </c>
      <c r="L29" t="inlineStr">
        <is>
          <t>27801915</t>
        </is>
      </c>
      <c r="M29" s="2" t="inlineStr">
        <is>
          <t>https://broker.stmichael.ru/go/amo/lead/27801915</t>
        </is>
      </c>
      <c r="N29" t="inlineStr">
        <is>
          <t>телефон брокера в примечании лида</t>
        </is>
      </c>
      <c r="O29" t="inlineStr">
        <is>
          <t>79055598974</t>
        </is>
      </c>
      <c r="P29" t="inlineStr">
        <is>
          <t>+7905****974</t>
        </is>
      </c>
      <c r="R29" t="inlineStr">
        <is>
          <t>PENDING</t>
        </is>
      </c>
    </row>
    <row r="30">
      <c r="B30" t="inlineStr">
        <is>
          <t>ЗГ3-6-1-062м</t>
        </is>
      </c>
      <c r="C30" t="inlineStr">
        <is>
          <t>ZORGE9</t>
        </is>
      </c>
      <c r="D30" t="inlineStr">
        <is>
          <t>2023-03-21</t>
        </is>
      </c>
      <c r="E30" t="n">
        <v>12818860</v>
      </c>
      <c r="F30" t="inlineStr">
        <is>
          <t>Смалий Андрей Олегович</t>
        </is>
      </c>
      <c r="G30" t="inlineStr">
        <is>
          <t>yandex_vim</t>
        </is>
      </c>
      <c r="I30" t="inlineStr">
        <is>
          <t>Зорге 9</t>
        </is>
      </c>
      <c r="J30" t="n">
        <v>744</v>
      </c>
      <c r="K30" s="2" t="inlineStr">
        <is>
          <t>https://docs.google.com/spreadsheets/d/1llfc8VOWMCi72BB-ICBXh_7mMraFTdHImSGv7TGyRuw/edit#range=A744</t>
        </is>
      </c>
      <c r="L30" t="inlineStr">
        <is>
          <t>27794619</t>
        </is>
      </c>
      <c r="M30" s="2" t="inlineStr">
        <is>
          <t>https://broker.stmichael.ru/go/amo/lead/27794619</t>
        </is>
      </c>
      <c r="N30" t="inlineStr">
        <is>
          <t>ФИО клиента в фиксациях</t>
        </is>
      </c>
      <c r="O30" t="inlineStr">
        <is>
          <t>Лебедева Яна Александровна</t>
        </is>
      </c>
      <c r="P30" t="inlineStr">
        <is>
          <t>+7901****337</t>
        </is>
      </c>
      <c r="Q30" t="inlineStr">
        <is>
          <t>ИП Лебедева Яна Александровна</t>
        </is>
      </c>
      <c r="R30" t="inlineStr">
        <is>
          <t>PENDING</t>
        </is>
      </c>
    </row>
    <row r="31">
      <c r="B31" t="inlineStr">
        <is>
          <t>ЗГ2-12-1-128</t>
        </is>
      </c>
      <c r="C31" t="inlineStr">
        <is>
          <t>ZORGE9</t>
        </is>
      </c>
      <c r="D31" t="inlineStr">
        <is>
          <t>2023-10-02</t>
        </is>
      </c>
      <c r="E31" t="n">
        <v>14244720</v>
      </c>
      <c r="F31" t="inlineStr">
        <is>
          <t>Головатая Наталья Николаевна</t>
        </is>
      </c>
      <c r="G31" t="inlineStr">
        <is>
          <t>yandex-map</t>
        </is>
      </c>
      <c r="I31" t="inlineStr">
        <is>
          <t>Зорге 9</t>
        </is>
      </c>
      <c r="J31" t="n">
        <v>858</v>
      </c>
      <c r="K31" s="2" t="inlineStr">
        <is>
          <t>https://docs.google.com/spreadsheets/d/1llfc8VOWMCi72BB-ICBXh_7mMraFTdHImSGv7TGyRuw/edit#range=A858</t>
        </is>
      </c>
      <c r="L31" t="inlineStr">
        <is>
          <t>29311071</t>
        </is>
      </c>
      <c r="M31" s="2" t="inlineStr">
        <is>
          <t>https://broker.stmichael.ru/go/amo/lead/29311071</t>
        </is>
      </c>
      <c r="N31" t="inlineStr">
        <is>
          <t>телефон брокера в примечании лида</t>
        </is>
      </c>
      <c r="O31" t="inlineStr">
        <is>
          <t>Ольга Ольга</t>
        </is>
      </c>
      <c r="P31" t="inlineStr">
        <is>
          <t>+7903****421</t>
        </is>
      </c>
      <c r="Q31" t="inlineStr">
        <is>
          <t>Beseda Group</t>
        </is>
      </c>
      <c r="R31" t="inlineStr">
        <is>
          <t>PENDING</t>
        </is>
      </c>
    </row>
    <row r="32">
      <c r="B32" t="inlineStr">
        <is>
          <t>ЗГ1-3-2-018</t>
        </is>
      </c>
      <c r="C32" t="inlineStr">
        <is>
          <t>ZORGE9</t>
        </is>
      </c>
      <c r="D32" t="inlineStr">
        <is>
          <t>2023-10-27</t>
        </is>
      </c>
      <c r="E32" t="n">
        <v>20956940</v>
      </c>
      <c r="F32" t="inlineStr">
        <is>
          <t>Карамалиева Елена Григорьевна</t>
        </is>
      </c>
      <c r="G32" t="inlineStr">
        <is>
          <t>google</t>
        </is>
      </c>
      <c r="I32" t="inlineStr">
        <is>
          <t>Зорге 9</t>
        </is>
      </c>
      <c r="J32" t="n">
        <v>747</v>
      </c>
      <c r="K32" s="2" t="inlineStr">
        <is>
          <t>https://docs.google.com/spreadsheets/d/1llfc8VOWMCi72BB-ICBXh_7mMraFTdHImSGv7TGyRuw/edit#range=A747</t>
        </is>
      </c>
      <c r="L32" t="inlineStr">
        <is>
          <t>29208987</t>
        </is>
      </c>
      <c r="M32" s="2" t="inlineStr">
        <is>
          <t>https://broker.stmichael.ru/go/amo/lead/29208987</t>
        </is>
      </c>
      <c r="N32" t="inlineStr">
        <is>
          <t>телефон брокера в примечании лида</t>
        </is>
      </c>
      <c r="O32" t="inlineStr">
        <is>
          <t>Кирюшин Андрей Вячеславович</t>
        </is>
      </c>
      <c r="P32" t="inlineStr">
        <is>
          <t>+7929****311</t>
        </is>
      </c>
      <c r="Q32" t="inlineStr">
        <is>
          <t>Инвест7</t>
        </is>
      </c>
      <c r="R32" t="inlineStr">
        <is>
          <t>PENDING</t>
        </is>
      </c>
    </row>
    <row r="33">
      <c r="B33" t="inlineStr">
        <is>
          <t>ЗГ3-13-1-159</t>
        </is>
      </c>
      <c r="C33" t="inlineStr">
        <is>
          <t>ZORGE9</t>
        </is>
      </c>
      <c r="D33" t="inlineStr">
        <is>
          <t>2024-07-27</t>
        </is>
      </c>
      <c r="E33" t="n">
        <v>11934399</v>
      </c>
      <c r="F33" t="inlineStr">
        <is>
          <t>Аркадьев А.А.</t>
        </is>
      </c>
      <c r="G33" t="inlineStr">
        <is>
          <t>yandex</t>
        </is>
      </c>
      <c r="I33" t="inlineStr">
        <is>
          <t>Зорге 9</t>
        </is>
      </c>
      <c r="J33" t="n">
        <v>274</v>
      </c>
      <c r="K33" s="2" t="inlineStr">
        <is>
          <t>https://docs.google.com/spreadsheets/d/1llfc8VOWMCi72BB-ICBXh_7mMraFTdHImSGv7TGyRuw/edit#range=A274</t>
        </is>
      </c>
      <c r="L33" t="inlineStr">
        <is>
          <t>23931405</t>
        </is>
      </c>
      <c r="M33" s="2" t="inlineStr">
        <is>
          <t>https://broker.stmichael.ru/go/amo/lead/23931405</t>
        </is>
      </c>
      <c r="N33" t="inlineStr">
        <is>
          <t>телефон брокера в примечании лида</t>
        </is>
      </c>
      <c r="O33" t="inlineStr">
        <is>
          <t>Бакулина Алла Алексеевна</t>
        </is>
      </c>
      <c r="P33" t="inlineStr">
        <is>
          <t>+7925****716</t>
        </is>
      </c>
      <c r="Q33" t="inlineStr">
        <is>
          <t>Аполлинария (осн.)</t>
        </is>
      </c>
      <c r="R33" t="inlineStr">
        <is>
          <t>PENDING</t>
        </is>
      </c>
    </row>
    <row r="34">
      <c r="B34" t="inlineStr">
        <is>
          <t>ЗГ1-1-295 (К1П6)</t>
        </is>
      </c>
      <c r="C34" t="inlineStr">
        <is>
          <t>ZORGE9</t>
        </is>
      </c>
      <c r="D34" t="inlineStr">
        <is>
          <t>2024-08-28</t>
        </is>
      </c>
      <c r="E34" t="n">
        <v>86500518</v>
      </c>
      <c r="F34" t="inlineStr">
        <is>
          <t>Гавриш Екатерина Юрьевна</t>
        </is>
      </c>
      <c r="G34" t="inlineStr">
        <is>
          <t>самоход</t>
        </is>
      </c>
      <c r="I34" t="inlineStr">
        <is>
          <t>Зорге 9</t>
        </is>
      </c>
      <c r="J34" t="n">
        <v>1027</v>
      </c>
      <c r="K34" s="2" t="inlineStr">
        <is>
          <t>https://docs.google.com/spreadsheets/d/1llfc8VOWMCi72BB-ICBXh_7mMraFTdHImSGv7TGyRuw/edit#range=A1027</t>
        </is>
      </c>
      <c r="L34" t="inlineStr">
        <is>
          <t>30787654</t>
        </is>
      </c>
      <c r="M34" s="2" t="inlineStr">
        <is>
          <t>https://broker.stmichael.ru/go/amo/lead/30787654</t>
        </is>
      </c>
      <c r="N34" t="inlineStr">
        <is>
          <t>телефон брокера в примечании лида</t>
        </is>
      </c>
      <c r="O34" t="inlineStr">
        <is>
          <t>Полехина Юлия</t>
        </is>
      </c>
      <c r="P34" t="inlineStr">
        <is>
          <t>+7939****262</t>
        </is>
      </c>
      <c r="R34" t="inlineStr">
        <is>
          <t>PENDING</t>
        </is>
      </c>
    </row>
    <row r="35">
      <c r="B35" t="inlineStr">
        <is>
          <t>ЗГ3-11-3-132м</t>
        </is>
      </c>
      <c r="C35" t="inlineStr">
        <is>
          <t>ZORGE9</t>
        </is>
      </c>
      <c r="D35" t="inlineStr">
        <is>
          <t>2025-06-03</t>
        </is>
      </c>
      <c r="E35" t="n">
        <v>27200648.92</v>
      </c>
      <c r="F35" t="inlineStr">
        <is>
          <t>Моисеева Татьяна Владимировна</t>
        </is>
      </c>
      <c r="G35" t="inlineStr">
        <is>
          <t>AGM</t>
        </is>
      </c>
      <c r="I35" t="inlineStr">
        <is>
          <t>Зорге 9</t>
        </is>
      </c>
      <c r="J35" t="n">
        <v>1139</v>
      </c>
      <c r="K35" s="2" t="inlineStr">
        <is>
          <t>https://docs.google.com/spreadsheets/d/1llfc8VOWMCi72BB-ICBXh_7mMraFTdHImSGv7TGyRuw/edit#range=A1139</t>
        </is>
      </c>
      <c r="L35" t="inlineStr">
        <is>
          <t>31209105</t>
        </is>
      </c>
      <c r="M35" s="2" t="inlineStr">
        <is>
          <t>https://broker.stmichael.ru/go/amo/lead/31209105</t>
        </is>
      </c>
      <c r="N35" t="inlineStr">
        <is>
          <t>телефон брокера в примечании лида</t>
        </is>
      </c>
      <c r="O35" t="inlineStr">
        <is>
          <t>Смолинов Вадим Михайлович</t>
        </is>
      </c>
      <c r="P35" t="inlineStr">
        <is>
          <t>+7926****678</t>
        </is>
      </c>
      <c r="R35" t="inlineStr">
        <is>
          <t>PENDING</t>
        </is>
      </c>
    </row>
  </sheetData>
  <autoFilter ref="A1:S35"/>
  <dataValidations count="1">
    <dataValidation sqref="A2:A35" showDropDown="0" showInputMessage="0" showErrorMessage="0" allowBlank="1" type="list">
      <formula1>"записать брокера,оставить прямой,уточнить"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M2" r:id="rId2"/>
    <hyperlink xmlns:r="http://schemas.openxmlformats.org/officeDocument/2006/relationships" ref="K3" r:id="rId3"/>
    <hyperlink xmlns:r="http://schemas.openxmlformats.org/officeDocument/2006/relationships" ref="M3" r:id="rId4"/>
    <hyperlink xmlns:r="http://schemas.openxmlformats.org/officeDocument/2006/relationships" ref="K4" r:id="rId5"/>
    <hyperlink xmlns:r="http://schemas.openxmlformats.org/officeDocument/2006/relationships" ref="M4" r:id="rId6"/>
    <hyperlink xmlns:r="http://schemas.openxmlformats.org/officeDocument/2006/relationships" ref="M5" r:id="rId7"/>
    <hyperlink xmlns:r="http://schemas.openxmlformats.org/officeDocument/2006/relationships" ref="K6" r:id="rId8"/>
    <hyperlink xmlns:r="http://schemas.openxmlformats.org/officeDocument/2006/relationships" ref="M6" r:id="rId9"/>
    <hyperlink xmlns:r="http://schemas.openxmlformats.org/officeDocument/2006/relationships" ref="K7" r:id="rId10"/>
    <hyperlink xmlns:r="http://schemas.openxmlformats.org/officeDocument/2006/relationships" ref="M7" r:id="rId11"/>
    <hyperlink xmlns:r="http://schemas.openxmlformats.org/officeDocument/2006/relationships" ref="K8" r:id="rId12"/>
    <hyperlink xmlns:r="http://schemas.openxmlformats.org/officeDocument/2006/relationships" ref="M8" r:id="rId13"/>
    <hyperlink xmlns:r="http://schemas.openxmlformats.org/officeDocument/2006/relationships" ref="K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M10" r:id="rId17"/>
    <hyperlink xmlns:r="http://schemas.openxmlformats.org/officeDocument/2006/relationships" ref="K11" r:id="rId18"/>
    <hyperlink xmlns:r="http://schemas.openxmlformats.org/officeDocument/2006/relationships" ref="M11" r:id="rId19"/>
    <hyperlink xmlns:r="http://schemas.openxmlformats.org/officeDocument/2006/relationships" ref="K12" r:id="rId20"/>
    <hyperlink xmlns:r="http://schemas.openxmlformats.org/officeDocument/2006/relationships" ref="M12" r:id="rId21"/>
    <hyperlink xmlns:r="http://schemas.openxmlformats.org/officeDocument/2006/relationships" ref="K13" r:id="rId22"/>
    <hyperlink xmlns:r="http://schemas.openxmlformats.org/officeDocument/2006/relationships" ref="M13" r:id="rId23"/>
    <hyperlink xmlns:r="http://schemas.openxmlformats.org/officeDocument/2006/relationships" ref="K14" r:id="rId24"/>
    <hyperlink xmlns:r="http://schemas.openxmlformats.org/officeDocument/2006/relationships" ref="M14" r:id="rId25"/>
    <hyperlink xmlns:r="http://schemas.openxmlformats.org/officeDocument/2006/relationships" ref="K15" r:id="rId26"/>
    <hyperlink xmlns:r="http://schemas.openxmlformats.org/officeDocument/2006/relationships" ref="M15" r:id="rId27"/>
    <hyperlink xmlns:r="http://schemas.openxmlformats.org/officeDocument/2006/relationships" ref="K16" r:id="rId28"/>
    <hyperlink xmlns:r="http://schemas.openxmlformats.org/officeDocument/2006/relationships" ref="M16" r:id="rId29"/>
    <hyperlink xmlns:r="http://schemas.openxmlformats.org/officeDocument/2006/relationships" ref="K17" r:id="rId30"/>
    <hyperlink xmlns:r="http://schemas.openxmlformats.org/officeDocument/2006/relationships" ref="M17" r:id="rId31"/>
    <hyperlink xmlns:r="http://schemas.openxmlformats.org/officeDocument/2006/relationships" ref="K18" r:id="rId32"/>
    <hyperlink xmlns:r="http://schemas.openxmlformats.org/officeDocument/2006/relationships" ref="M18" r:id="rId33"/>
    <hyperlink xmlns:r="http://schemas.openxmlformats.org/officeDocument/2006/relationships" ref="K19" r:id="rId34"/>
    <hyperlink xmlns:r="http://schemas.openxmlformats.org/officeDocument/2006/relationships" ref="M19" r:id="rId35"/>
    <hyperlink xmlns:r="http://schemas.openxmlformats.org/officeDocument/2006/relationships" ref="K20" r:id="rId36"/>
    <hyperlink xmlns:r="http://schemas.openxmlformats.org/officeDocument/2006/relationships" ref="M20" r:id="rId37"/>
    <hyperlink xmlns:r="http://schemas.openxmlformats.org/officeDocument/2006/relationships" ref="K21" r:id="rId38"/>
    <hyperlink xmlns:r="http://schemas.openxmlformats.org/officeDocument/2006/relationships" ref="M21" r:id="rId39"/>
    <hyperlink xmlns:r="http://schemas.openxmlformats.org/officeDocument/2006/relationships" ref="K22" r:id="rId40"/>
    <hyperlink xmlns:r="http://schemas.openxmlformats.org/officeDocument/2006/relationships" ref="M22" r:id="rId41"/>
    <hyperlink xmlns:r="http://schemas.openxmlformats.org/officeDocument/2006/relationships" ref="K23" r:id="rId42"/>
    <hyperlink xmlns:r="http://schemas.openxmlformats.org/officeDocument/2006/relationships" ref="M23" r:id="rId43"/>
    <hyperlink xmlns:r="http://schemas.openxmlformats.org/officeDocument/2006/relationships" ref="K24" r:id="rId44"/>
    <hyperlink xmlns:r="http://schemas.openxmlformats.org/officeDocument/2006/relationships" ref="M24" r:id="rId45"/>
    <hyperlink xmlns:r="http://schemas.openxmlformats.org/officeDocument/2006/relationships" ref="K25" r:id="rId46"/>
    <hyperlink xmlns:r="http://schemas.openxmlformats.org/officeDocument/2006/relationships" ref="M25" r:id="rId47"/>
    <hyperlink xmlns:r="http://schemas.openxmlformats.org/officeDocument/2006/relationships" ref="K26" r:id="rId48"/>
    <hyperlink xmlns:r="http://schemas.openxmlformats.org/officeDocument/2006/relationships" ref="M26" r:id="rId49"/>
    <hyperlink xmlns:r="http://schemas.openxmlformats.org/officeDocument/2006/relationships" ref="K27" r:id="rId50"/>
    <hyperlink xmlns:r="http://schemas.openxmlformats.org/officeDocument/2006/relationships" ref="M27" r:id="rId51"/>
    <hyperlink xmlns:r="http://schemas.openxmlformats.org/officeDocument/2006/relationships" ref="K28" r:id="rId52"/>
    <hyperlink xmlns:r="http://schemas.openxmlformats.org/officeDocument/2006/relationships" ref="M28" r:id="rId53"/>
    <hyperlink xmlns:r="http://schemas.openxmlformats.org/officeDocument/2006/relationships" ref="K29" r:id="rId54"/>
    <hyperlink xmlns:r="http://schemas.openxmlformats.org/officeDocument/2006/relationships" ref="M29" r:id="rId55"/>
    <hyperlink xmlns:r="http://schemas.openxmlformats.org/officeDocument/2006/relationships" ref="K30" r:id="rId56"/>
    <hyperlink xmlns:r="http://schemas.openxmlformats.org/officeDocument/2006/relationships" ref="M30" r:id="rId57"/>
    <hyperlink xmlns:r="http://schemas.openxmlformats.org/officeDocument/2006/relationships" ref="K31" r:id="rId58"/>
    <hyperlink xmlns:r="http://schemas.openxmlformats.org/officeDocument/2006/relationships" ref="M31" r:id="rId59"/>
    <hyperlink xmlns:r="http://schemas.openxmlformats.org/officeDocument/2006/relationships" ref="K32" r:id="rId60"/>
    <hyperlink xmlns:r="http://schemas.openxmlformats.org/officeDocument/2006/relationships" ref="M32" r:id="rId61"/>
    <hyperlink xmlns:r="http://schemas.openxmlformats.org/officeDocument/2006/relationships" ref="K33" r:id="rId62"/>
    <hyperlink xmlns:r="http://schemas.openxmlformats.org/officeDocument/2006/relationships" ref="M33" r:id="rId63"/>
    <hyperlink xmlns:r="http://schemas.openxmlformats.org/officeDocument/2006/relationships" ref="K34" r:id="rId64"/>
    <hyperlink xmlns:r="http://schemas.openxmlformats.org/officeDocument/2006/relationships" ref="M34" r:id="rId65"/>
    <hyperlink xmlns:r="http://schemas.openxmlformats.org/officeDocument/2006/relationships" ref="K35" r:id="rId66"/>
    <hyperlink xmlns:r="http://schemas.openxmlformats.org/officeDocument/2006/relationships" ref="M35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Столбец A «Решение»: выберите из списка — «записать брокера» (в кабинете сделка будет у этого брокера), «оставить прямой» (брокера не будет), «уточнить».</t>
        </is>
      </c>
    </row>
    <row r="2">
      <c r="A2" s="3" t="inlineStr">
        <is>
          <t>Ссылка на строку Google открывает таблицу проекта; строка указана в столбце «Строка» листа «Сделки» (ссылка позиционирует на ячейку A этой строки).</t>
        </is>
      </c>
    </row>
    <row r="3">
      <c r="A3" s="3" t="inlineStr">
        <is>
          <t>Ссылка на лид amo — карточка лида, где в примечании найден телефон брокера (или тег).</t>
        </is>
      </c>
    </row>
    <row r="4">
      <c r="A4" s="3" t="inlineStr">
        <is>
          <t>Брокер (наша база) — карточка, чей телефон совпал; телефон показан не полностью.</t>
        </is>
      </c>
    </row>
    <row r="5">
      <c r="A5" s="3" t="inlineStr">
        <is>
          <t>После заполнения пришлите файл обратно — применю решения одним прогоном (только строки с «записать брокера»).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2026-09-08T12:00:58Z</dcterms:created>
  <dcterms:modified xmlns:dcterms="http://purl.org/dc/terms/" xmlns:xsi="http://www.w3.org/2001/XMLSchema-instance" xsi:type="dcterms:W3CDTF">2026-09-08T13:14:08Z</dcterms:modified>
</cp:coreProperties>
</file>